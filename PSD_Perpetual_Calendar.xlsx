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johnw\Documents\GitHub\AI\"/>
    </mc:Choice>
  </mc:AlternateContent>
  <xr:revisionPtr revIDLastSave="0" documentId="13_ncr:1_{620900D1-7A92-4320-9BF1-03D8CA72E5E5}" xr6:coauthVersionLast="47" xr6:coauthVersionMax="47" xr10:uidLastSave="{00000000-0000-0000-0000-000000000000}"/>
  <bookViews>
    <workbookView xWindow="-120" yWindow="-120" windowWidth="18240" windowHeight="28320" activeTab="1" xr2:uid="{00000000-000D-0000-FFFF-FFFF00000000}"/>
  </bookViews>
  <sheets>
    <sheet name="School Year" sheetId="1" r:id="rId1"/>
    <sheet name="Holiday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/>
  <c r="A27" i="2"/>
  <c r="A26" i="2"/>
  <c r="A28" i="2" s="1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1"/>
</calcChain>
</file>

<file path=xl/sharedStrings.xml><?xml version="1.0" encoding="utf-8"?>
<sst xmlns="http://schemas.openxmlformats.org/spreadsheetml/2006/main" count="118" uniqueCount="66">
  <si>
    <t>School Year (Fall Year — enter 4-digit start year)</t>
  </si>
  <si>
    <t>Spring Year (auto-calculated)</t>
  </si>
  <si>
    <t>Instructions: Change the value in A1 to the desired fall year (e.g., 2027 for the 2027-28 school year).</t>
  </si>
  <si>
    <t>All holiday dates in the 'Holidays' tab will automatically recalculate based on that year.</t>
  </si>
  <si>
    <t>The yellow cell (A1) is the only cell you need to edit.</t>
  </si>
  <si>
    <t>Date</t>
  </si>
  <si>
    <t>Event Name</t>
  </si>
  <si>
    <t>Grade Level / Notes</t>
  </si>
  <si>
    <t>Type</t>
  </si>
  <si>
    <t>Perpetual Calendar Formula</t>
  </si>
  <si>
    <t>First Day of School</t>
  </si>
  <si>
    <t>TK–12</t>
  </si>
  <si>
    <t>First Day</t>
  </si>
  <si>
    <t>First Tuesday of September (fall year)</t>
  </si>
  <si>
    <t>No School – Labor Day</t>
  </si>
  <si>
    <t>Federal Holiday</t>
  </si>
  <si>
    <t>1st Monday of September (fall year)</t>
  </si>
  <si>
    <t>No School – Veterans Day</t>
  </si>
  <si>
    <t>November 11 (fixed); if Saturday → observed Friday Nov 10; if Sunday → observed Monday Nov 12</t>
  </si>
  <si>
    <t>No School – Conferences</t>
  </si>
  <si>
    <t>Grades 6–8</t>
  </si>
  <si>
    <t>Conferences</t>
  </si>
  <si>
    <t>3rd Friday of November (fall year)</t>
  </si>
  <si>
    <t>Early Release</t>
  </si>
  <si>
    <t>Wednesday before Thanksgiving: 4th Thursday of November minus 1 day</t>
  </si>
  <si>
    <t>No School – Thanksgiving</t>
  </si>
  <si>
    <t>4th Thursday of November (Thanksgiving Day, fall year)</t>
  </si>
  <si>
    <t>No School – Thanksgiving Break</t>
  </si>
  <si>
    <t>Break</t>
  </si>
  <si>
    <t>Day after Thanksgiving (4th Thursday of November plus 1 day)</t>
  </si>
  <si>
    <t>No School – Trimester Break</t>
  </si>
  <si>
    <t>Monday after Thanksgiving: 4th Thursday of November plus 4 days</t>
  </si>
  <si>
    <t>TK–5</t>
  </si>
  <si>
    <t>2nd Friday of December (fall year)</t>
  </si>
  <si>
    <t>Day before Winter Break: 3rd Thursday of December minus 1 day (Wednesday)</t>
  </si>
  <si>
    <t>No School – Winter Break Begins</t>
  </si>
  <si>
    <t>3rd Thursday of December (fall year); first day of Winter Break</t>
  </si>
  <si>
    <t>No School – Winter Break Ends</t>
  </si>
  <si>
    <t>December 31 (fixed); last day of calendar year / Winter Break</t>
  </si>
  <si>
    <t>No School – New Year's Day</t>
  </si>
  <si>
    <t>January 1 (fixed, spring year)</t>
  </si>
  <si>
    <t>No School – Martin Luther King Jr. Day</t>
  </si>
  <si>
    <t>3rd Monday of January (spring year)</t>
  </si>
  <si>
    <t>No School – Semester Break</t>
  </si>
  <si>
    <t>Last Friday of January (spring year): last day of January minus days-since-Friday</t>
  </si>
  <si>
    <t>No School – Presidents' Day</t>
  </si>
  <si>
    <t>3rd Monday of February (spring year)</t>
  </si>
  <si>
    <t>Snow Make-Up Day (if needed)</t>
  </si>
  <si>
    <t>Make-Up Day</t>
  </si>
  <si>
    <t>Monday after Presidents' Day: Presidents' Day (3rd Monday of Feb) plus 7 days</t>
  </si>
  <si>
    <t>3rd Wednesday of March (spring year)</t>
  </si>
  <si>
    <t>4th Friday of March (spring year)</t>
  </si>
  <si>
    <t>Friday before Spring Break: First Monday of April minus 3 days</t>
  </si>
  <si>
    <t>No School – Spring Break Begins</t>
  </si>
  <si>
    <t>First Monday of April (spring year); first day of Spring Break</t>
  </si>
  <si>
    <t>No School – Spring Break Ends</t>
  </si>
  <si>
    <t>First Friday of April: Spring Break start (First Monday of April) plus 4 days</t>
  </si>
  <si>
    <t>Last Friday of April (spring year)</t>
  </si>
  <si>
    <t>No School – Memorial Day</t>
  </si>
  <si>
    <t>Last Monday of May (spring year): last day of May minus days-since-Monday</t>
  </si>
  <si>
    <t>Last Day of School (Early Release)</t>
  </si>
  <si>
    <t>Last Day</t>
  </si>
  <si>
    <t>3rd Thursday of June (spring year)</t>
  </si>
  <si>
    <t>No School – Juneteenth Observance</t>
  </si>
  <si>
    <t>June 19 (Juneteenth, fixed); if Saturday → observed Friday June 18; if Sunday → observed Monday June 20</t>
  </si>
  <si>
    <t>First Monday after Last Day of School: Last Day minus WEEKDAY(Last Day) plus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</si>
</sst>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2" x14ac:knownFonts="1">
    <font>
      <sz val="11"/>
      <color theme="1"/>
      <name val="Calibri"/>
      <family val="2"/>
      <scheme val="minor"/>
    </font>
    <font>
      <b/>
      <sz val="20"/>
      <color rgb="FF0070C0"/>
      <name val="Arial"/>
    </font>
    <font>
      <sz val="11"/>
      <name val="Arial"/>
    </font>
    <font>
      <sz val="14"/>
      <color rgb="FF000000"/>
      <name val="Arial"/>
    </font>
    <font>
      <sz val="10"/>
      <name val="Arial"/>
    </font>
    <font>
      <b/>
      <sz val="11"/>
      <color rgb="FFFFFFFF"/>
      <name val="Arial"/>
    </font>
    <font>
      <b/>
      <sz val="10"/>
      <color rgb="FF375623"/>
      <name val="Arial"/>
    </font>
    <font>
      <sz val="10"/>
      <color rgb="FFC00000"/>
      <name val="Arial"/>
    </font>
    <font>
      <sz val="10"/>
      <color rgb="FF7030A0"/>
      <name val="Arial"/>
    </font>
    <font>
      <sz val="10"/>
      <color rgb="FF1F4E79"/>
      <name val="Arial"/>
    </font>
    <font>
      <sz val="10"/>
      <color rgb="FFC55A11"/>
      <name val="Arial"/>
    </font>
    <font>
      <i/>
      <sz val="10"/>
      <color rgb="FF595959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FFFF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3" fillId="0" borderId="1" xfId="0" applyFont="1" applyBorder="1"/>
    <xf numFmtId="0" fontId="4" fillId="0" borderId="0" xfId="0" applyFont="1"/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vertical="center" wrapText="1"/>
    </xf>
    <xf numFmtId="164" fontId="4" fillId="5" borderId="5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4" borderId="8" xfId="0" applyFont="1" applyFill="1" applyBorder="1" applyAlignment="1">
      <alignment vertical="center"/>
    </xf>
    <xf numFmtId="0" fontId="4" fillId="4" borderId="8" xfId="0" applyFont="1" applyFill="1" applyBorder="1" applyAlignment="1">
      <alignment horizontal="center" vertical="center"/>
    </xf>
    <xf numFmtId="0" fontId="11" fillId="4" borderId="8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workbookViewId="0">
      <selection activeCell="A2" sqref="A2"/>
    </sheetView>
  </sheetViews>
  <sheetFormatPr defaultRowHeight="15" x14ac:dyDescent="0.25"/>
  <cols>
    <col min="1" max="1" width="10" customWidth="1"/>
    <col min="2" max="2" width="58" customWidth="1"/>
  </cols>
  <sheetData>
    <row r="1" spans="1:2" ht="26.25" x14ac:dyDescent="0.4">
      <c r="A1" s="1">
        <v>2023</v>
      </c>
      <c r="B1" s="2" t="s">
        <v>0</v>
      </c>
    </row>
    <row r="2" spans="1:2" ht="18" x14ac:dyDescent="0.25">
      <c r="A2" s="3">
        <f>A1+1</f>
        <v>2024</v>
      </c>
      <c r="B2" s="2" t="s">
        <v>1</v>
      </c>
    </row>
    <row r="3" spans="1:2" x14ac:dyDescent="0.25">
      <c r="A3" s="4" t="s">
        <v>2</v>
      </c>
    </row>
    <row r="4" spans="1:2" x14ac:dyDescent="0.25">
      <c r="A4" s="4" t="s">
        <v>3</v>
      </c>
    </row>
    <row r="5" spans="1:2" x14ac:dyDescent="0.25">
      <c r="A5" s="4" t="s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8"/>
  <sheetViews>
    <sheetView tabSelected="1" workbookViewId="0">
      <pane ySplit="1" topLeftCell="A2" activePane="bottomLeft" state="frozen"/>
      <selection pane="bottomLeft" activeCell="A4" sqref="A4:XFD4"/>
    </sheetView>
  </sheetViews>
  <sheetFormatPr defaultRowHeight="15" x14ac:dyDescent="0.25"/>
  <cols>
    <col min="1" max="1" width="14" customWidth="1"/>
    <col min="2" max="2" width="36" customWidth="1"/>
    <col min="3" max="3" width="21.7109375" bestFit="1" customWidth="1"/>
    <col min="4" max="4" width="18" customWidth="1"/>
    <col min="5" max="5" width="65" customWidth="1"/>
  </cols>
  <sheetData>
    <row r="1" spans="1:5" ht="20.100000000000001" customHeight="1" x14ac:dyDescent="0.25">
      <c r="A1" s="5" t="s">
        <v>5</v>
      </c>
      <c r="B1" s="6" t="s">
        <v>6</v>
      </c>
      <c r="C1" s="6" t="s">
        <v>7</v>
      </c>
      <c r="D1" s="6" t="s">
        <v>8</v>
      </c>
      <c r="E1" s="7" t="s">
        <v>9</v>
      </c>
    </row>
    <row r="2" spans="1:5" ht="30" customHeight="1" x14ac:dyDescent="0.25">
      <c r="A2" s="13">
        <f>DATE('School Year'!$A$1,9,1)+MOD(2-WEEKDAY(DATE('School Year'!$A$1,9,1)),7)</f>
        <v>45173</v>
      </c>
      <c r="B2" s="14" t="s">
        <v>14</v>
      </c>
      <c r="C2" s="15" t="s">
        <v>11</v>
      </c>
      <c r="D2" s="16" t="s">
        <v>15</v>
      </c>
      <c r="E2" s="17" t="s">
        <v>16</v>
      </c>
    </row>
    <row r="3" spans="1:5" ht="30" customHeight="1" x14ac:dyDescent="0.25">
      <c r="A3" s="8">
        <f>DATE('School Year'!$A$1,9,1)+MOD(3-WEEKDAY(DATE('School Year'!$A$1,9,1)),7)</f>
        <v>45174</v>
      </c>
      <c r="B3" s="9" t="s">
        <v>10</v>
      </c>
      <c r="C3" s="10" t="s">
        <v>11</v>
      </c>
      <c r="D3" s="11" t="s">
        <v>12</v>
      </c>
      <c r="E3" s="12" t="s">
        <v>13</v>
      </c>
    </row>
    <row r="4" spans="1:5" ht="30" customHeight="1" x14ac:dyDescent="0.25">
      <c r="A4" s="8">
        <f>IF(WEEKDAY(DATE('School Year'!$A$1,11,11))=7,DATE('School Year'!$A$1,11,10),IF(WEEKDAY(DATE('School Year'!$A$1,11,11))=1,DATE('School Year'!$A$1,11,12),DATE('School Year'!$A$1,11,11)))</f>
        <v>45240</v>
      </c>
      <c r="B4" s="9" t="s">
        <v>17</v>
      </c>
      <c r="C4" s="10" t="s">
        <v>11</v>
      </c>
      <c r="D4" s="18" t="s">
        <v>15</v>
      </c>
      <c r="E4" s="12" t="s">
        <v>18</v>
      </c>
    </row>
    <row r="5" spans="1:5" ht="30" customHeight="1" x14ac:dyDescent="0.25">
      <c r="A5" s="13">
        <f>DATE('School Year'!$A$1,11,1)+MOD(6-WEEKDAY(DATE('School Year'!$A$1,11,1)),7)+14</f>
        <v>45247</v>
      </c>
      <c r="B5" s="14" t="s">
        <v>19</v>
      </c>
      <c r="C5" s="15" t="s">
        <v>20</v>
      </c>
      <c r="D5" s="19" t="s">
        <v>21</v>
      </c>
      <c r="E5" s="17" t="s">
        <v>22</v>
      </c>
    </row>
    <row r="6" spans="1:5" ht="30" customHeight="1" x14ac:dyDescent="0.25">
      <c r="A6" s="8">
        <f>DATE('School Year'!$A$1,11,1)+MOD(5-WEEKDAY(DATE('School Year'!$A$1,11,1)),7)+20</f>
        <v>45252</v>
      </c>
      <c r="B6" s="9" t="s">
        <v>23</v>
      </c>
      <c r="C6" s="10" t="s">
        <v>11</v>
      </c>
      <c r="D6" s="20" t="s">
        <v>23</v>
      </c>
      <c r="E6" s="12" t="s">
        <v>24</v>
      </c>
    </row>
    <row r="7" spans="1:5" ht="30" customHeight="1" x14ac:dyDescent="0.25">
      <c r="A7" s="13">
        <f>DATE('School Year'!$A$1,11,1)+MOD(5-WEEKDAY(DATE('School Year'!$A$1,11,1)),7)+21</f>
        <v>45253</v>
      </c>
      <c r="B7" s="14" t="s">
        <v>25</v>
      </c>
      <c r="C7" s="15" t="s">
        <v>11</v>
      </c>
      <c r="D7" s="16" t="s">
        <v>15</v>
      </c>
      <c r="E7" s="17" t="s">
        <v>26</v>
      </c>
    </row>
    <row r="8" spans="1:5" ht="30" customHeight="1" x14ac:dyDescent="0.25">
      <c r="A8" s="8">
        <f>DATE('School Year'!$A$1,11,1)+MOD(5-WEEKDAY(DATE('School Year'!$A$1,11,1)),7)+22</f>
        <v>45254</v>
      </c>
      <c r="B8" s="9" t="s">
        <v>27</v>
      </c>
      <c r="C8" s="10" t="s">
        <v>11</v>
      </c>
      <c r="D8" s="21" t="s">
        <v>28</v>
      </c>
      <c r="E8" s="12" t="s">
        <v>29</v>
      </c>
    </row>
    <row r="9" spans="1:5" ht="30" customHeight="1" x14ac:dyDescent="0.25">
      <c r="A9" s="13">
        <f>DATE('School Year'!$A$1,11,1)+MOD(5-WEEKDAY(DATE('School Year'!$A$1,11,1)),7)+25</f>
        <v>45257</v>
      </c>
      <c r="B9" s="14" t="s">
        <v>30</v>
      </c>
      <c r="C9" s="15" t="s">
        <v>11</v>
      </c>
      <c r="D9" s="22" t="s">
        <v>28</v>
      </c>
      <c r="E9" s="17" t="s">
        <v>31</v>
      </c>
    </row>
    <row r="10" spans="1:5" ht="30" customHeight="1" x14ac:dyDescent="0.25">
      <c r="A10" s="8">
        <f>DATE('School Year'!$A$1,12,1)+MOD(6-WEEKDAY(DATE('School Year'!$A$1,12,1)),7)+7</f>
        <v>45268</v>
      </c>
      <c r="B10" s="9" t="s">
        <v>19</v>
      </c>
      <c r="C10" s="10" t="s">
        <v>32</v>
      </c>
      <c r="D10" s="23" t="s">
        <v>21</v>
      </c>
      <c r="E10" s="12" t="s">
        <v>33</v>
      </c>
    </row>
    <row r="11" spans="1:5" ht="30" customHeight="1" x14ac:dyDescent="0.25">
      <c r="A11" s="13">
        <f>DATE('School Year'!$A$1,12,1)+MOD(5-WEEKDAY(DATE('School Year'!$A$1,12,1)),7)+13</f>
        <v>45280</v>
      </c>
      <c r="B11" s="14" t="s">
        <v>23</v>
      </c>
      <c r="C11" s="15" t="s">
        <v>11</v>
      </c>
      <c r="D11" s="24" t="s">
        <v>23</v>
      </c>
      <c r="E11" s="17" t="s">
        <v>34</v>
      </c>
    </row>
    <row r="12" spans="1:5" ht="30" customHeight="1" x14ac:dyDescent="0.25">
      <c r="A12" s="8">
        <f>DATE('School Year'!$A$1,12,1)+MOD(5-WEEKDAY(DATE('School Year'!$A$1,12,1)),7)+14</f>
        <v>45281</v>
      </c>
      <c r="B12" s="9" t="s">
        <v>35</v>
      </c>
      <c r="C12" s="10" t="s">
        <v>11</v>
      </c>
      <c r="D12" s="21" t="s">
        <v>28</v>
      </c>
      <c r="E12" s="12" t="s">
        <v>36</v>
      </c>
    </row>
    <row r="13" spans="1:5" ht="30" customHeight="1" x14ac:dyDescent="0.25">
      <c r="A13" s="13">
        <f>DATE('School Year'!$A$1,12,31)</f>
        <v>45291</v>
      </c>
      <c r="B13" s="14" t="s">
        <v>37</v>
      </c>
      <c r="C13" s="15" t="s">
        <v>11</v>
      </c>
      <c r="D13" s="22" t="s">
        <v>28</v>
      </c>
      <c r="E13" s="17" t="s">
        <v>38</v>
      </c>
    </row>
    <row r="14" spans="1:5" ht="30" customHeight="1" x14ac:dyDescent="0.25">
      <c r="A14" s="8">
        <f>DATE('School Year'!$A$1+1,1,1)</f>
        <v>45292</v>
      </c>
      <c r="B14" s="9" t="s">
        <v>39</v>
      </c>
      <c r="C14" s="10" t="s">
        <v>11</v>
      </c>
      <c r="D14" s="18" t="s">
        <v>15</v>
      </c>
      <c r="E14" s="12" t="s">
        <v>40</v>
      </c>
    </row>
    <row r="15" spans="1:5" ht="30" customHeight="1" x14ac:dyDescent="0.25">
      <c r="A15" s="13">
        <f>DATE('School Year'!$A$1+1,1,1)+MOD(2-WEEKDAY(DATE('School Year'!$A$1+1,1,1)),7)+14</f>
        <v>45306</v>
      </c>
      <c r="B15" s="14" t="s">
        <v>41</v>
      </c>
      <c r="C15" s="15" t="s">
        <v>11</v>
      </c>
      <c r="D15" s="16" t="s">
        <v>15</v>
      </c>
      <c r="E15" s="17" t="s">
        <v>42</v>
      </c>
    </row>
    <row r="16" spans="1:5" ht="30" customHeight="1" x14ac:dyDescent="0.25">
      <c r="A16" s="8">
        <f>DATE('School Year'!$A$1+1,2,0)-MOD(WEEKDAY(DATE('School Year'!$A$1+1,2,0))-6+7,7)</f>
        <v>45317</v>
      </c>
      <c r="B16" s="9" t="s">
        <v>43</v>
      </c>
      <c r="C16" s="10" t="s">
        <v>11</v>
      </c>
      <c r="D16" s="21" t="s">
        <v>28</v>
      </c>
      <c r="E16" s="12" t="s">
        <v>44</v>
      </c>
    </row>
    <row r="17" spans="1:5" ht="30" customHeight="1" x14ac:dyDescent="0.25">
      <c r="A17" s="13">
        <f>DATE('School Year'!$A$1+1,2,1)+MOD(2-WEEKDAY(DATE('School Year'!$A$1+1,2,1)),7)+14</f>
        <v>45341</v>
      </c>
      <c r="B17" s="14" t="s">
        <v>45</v>
      </c>
      <c r="C17" s="15" t="s">
        <v>11</v>
      </c>
      <c r="D17" s="16" t="s">
        <v>15</v>
      </c>
      <c r="E17" s="17" t="s">
        <v>46</v>
      </c>
    </row>
    <row r="18" spans="1:5" ht="30" customHeight="1" x14ac:dyDescent="0.25">
      <c r="A18" s="8">
        <f>DATE('School Year'!$A$1+1,2,1)+MOD(2-WEEKDAY(DATE('School Year'!$A$1+1,2,1)),7)+21</f>
        <v>45348</v>
      </c>
      <c r="B18" s="9" t="s">
        <v>47</v>
      </c>
      <c r="C18" s="10" t="s">
        <v>11</v>
      </c>
      <c r="D18" s="25" t="s">
        <v>48</v>
      </c>
      <c r="E18" s="12" t="s">
        <v>49</v>
      </c>
    </row>
    <row r="19" spans="1:5" ht="30" customHeight="1" x14ac:dyDescent="0.25">
      <c r="A19" s="13">
        <f>DATE('School Year'!$A$1+1,3,1)+MOD(4-WEEKDAY(DATE('School Year'!$A$1+1,3,1)),7)+14</f>
        <v>45371</v>
      </c>
      <c r="B19" s="14" t="s">
        <v>30</v>
      </c>
      <c r="C19" s="15" t="s">
        <v>11</v>
      </c>
      <c r="D19" s="22" t="s">
        <v>28</v>
      </c>
      <c r="E19" s="17" t="s">
        <v>50</v>
      </c>
    </row>
    <row r="20" spans="1:5" ht="30" customHeight="1" x14ac:dyDescent="0.25">
      <c r="A20" s="8">
        <f>DATE('School Year'!$A$1+1,3,1)+MOD(6-WEEKDAY(DATE('School Year'!$A$1+1,3,1)),7)+21</f>
        <v>45373</v>
      </c>
      <c r="B20" s="9" t="s">
        <v>19</v>
      </c>
      <c r="C20" s="10" t="s">
        <v>32</v>
      </c>
      <c r="D20" s="23" t="s">
        <v>21</v>
      </c>
      <c r="E20" s="12" t="s">
        <v>51</v>
      </c>
    </row>
    <row r="21" spans="1:5" ht="30" customHeight="1" x14ac:dyDescent="0.25">
      <c r="A21" s="13">
        <f>DATE('School Year'!$A$1+1,4,1)+MOD(2-WEEKDAY(DATE('School Year'!$A$1+1,4,1)),7)-3</f>
        <v>45380</v>
      </c>
      <c r="B21" s="14" t="s">
        <v>23</v>
      </c>
      <c r="C21" s="15" t="s">
        <v>11</v>
      </c>
      <c r="D21" s="24" t="s">
        <v>23</v>
      </c>
      <c r="E21" s="17" t="s">
        <v>52</v>
      </c>
    </row>
    <row r="22" spans="1:5" ht="30" customHeight="1" x14ac:dyDescent="0.25">
      <c r="A22" s="8">
        <f>DATE('School Year'!$A$1+1,4,1)+MOD(2-WEEKDAY(DATE('School Year'!$A$1+1,4,1)),7)</f>
        <v>45383</v>
      </c>
      <c r="B22" s="9" t="s">
        <v>53</v>
      </c>
      <c r="C22" s="10" t="s">
        <v>11</v>
      </c>
      <c r="D22" s="21" t="s">
        <v>28</v>
      </c>
      <c r="E22" s="12" t="s">
        <v>54</v>
      </c>
    </row>
    <row r="23" spans="1:5" ht="30" customHeight="1" x14ac:dyDescent="0.25">
      <c r="A23" s="13">
        <f>DATE('School Year'!$A$1+1,4,1)+MOD(2-WEEKDAY(DATE('School Year'!$A$1+1,4,1)),7)+4</f>
        <v>45387</v>
      </c>
      <c r="B23" s="14" t="s">
        <v>55</v>
      </c>
      <c r="C23" s="15" t="s">
        <v>11</v>
      </c>
      <c r="D23" s="22" t="s">
        <v>28</v>
      </c>
      <c r="E23" s="17" t="s">
        <v>56</v>
      </c>
    </row>
    <row r="24" spans="1:5" ht="30" customHeight="1" x14ac:dyDescent="0.25">
      <c r="A24" s="8">
        <f>DATE('School Year'!$A$1+1,5,0)-MOD(WEEKDAY(DATE('School Year'!$A$1+1,5,0))-6+7,7)</f>
        <v>45408</v>
      </c>
      <c r="B24" s="9" t="s">
        <v>19</v>
      </c>
      <c r="C24" s="10" t="s">
        <v>20</v>
      </c>
      <c r="D24" s="23" t="s">
        <v>21</v>
      </c>
      <c r="E24" s="12" t="s">
        <v>57</v>
      </c>
    </row>
    <row r="25" spans="1:5" ht="30" customHeight="1" x14ac:dyDescent="0.25">
      <c r="A25" s="13">
        <f>DATE('School Year'!$A$1+1,6,0)-MOD(WEEKDAY(DATE('School Year'!$A$1+1,6,0))-2+7,7)</f>
        <v>45439</v>
      </c>
      <c r="B25" s="14" t="s">
        <v>58</v>
      </c>
      <c r="C25" s="15" t="s">
        <v>11</v>
      </c>
      <c r="D25" s="16" t="s">
        <v>15</v>
      </c>
      <c r="E25" s="17" t="s">
        <v>59</v>
      </c>
    </row>
    <row r="26" spans="1:5" ht="30" customHeight="1" x14ac:dyDescent="0.25">
      <c r="A26" s="8">
        <f>DATE('School Year'!$A$1+1,6,1)+MOD(5-WEEKDAY(DATE('School Year'!$A$1+1,6,1)),7)+14</f>
        <v>45463</v>
      </c>
      <c r="B26" s="9" t="s">
        <v>60</v>
      </c>
      <c r="C26" s="10" t="s">
        <v>11</v>
      </c>
      <c r="D26" s="11" t="s">
        <v>61</v>
      </c>
      <c r="E26" s="12" t="s">
        <v>62</v>
      </c>
    </row>
    <row r="27" spans="1:5" ht="30" customHeight="1" x14ac:dyDescent="0.25">
      <c r="A27" s="13">
        <f>IF(WEEKDAY(DATE('School Year'!$A$1+1,6,19))=7,DATE('School Year'!$A$1+1,6,18),IF(WEEKDAY(DATE('School Year'!$A$1+1,6,19))=1,DATE('School Year'!$A$1+1,6,20),DATE('School Year'!$A$1+1,6,19)))</f>
        <v>45462</v>
      </c>
      <c r="B27" s="14" t="s">
        <v>63</v>
      </c>
      <c r="C27" s="15" t="s">
        <v>11</v>
      </c>
      <c r="D27" s="16" t="s">
        <v>15</v>
      </c>
      <c r="E27" s="17" t="s">
        <v>64</v>
      </c>
    </row>
    <row r="28" spans="1:5" ht="30" customHeight="1" x14ac:dyDescent="0.25">
      <c r="A28" s="26">
        <f>A26-WEEKDAY(A26)+9</f>
        <v>45467</v>
      </c>
      <c r="B28" s="27" t="s">
        <v>47</v>
      </c>
      <c r="C28" s="28" t="s">
        <v>11</v>
      </c>
      <c r="D28" s="29" t="s">
        <v>48</v>
      </c>
      <c r="E28" s="30" t="s">
        <v>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School Year</vt:lpstr>
      <vt:lpstr>Holidays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Weisenfeld johnweisatlivedotcom</cp:lastModifiedBy>
  <dcterms:created xsi:type="dcterms:W3CDTF">2026-03-28T05:13:25Z</dcterms:created>
  <dcterms:modified xsi:type="dcterms:W3CDTF">2026-03-29T01:56:45Z</dcterms:modified>
</cp:coreProperties>
</file>
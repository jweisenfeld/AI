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Year" sheetId="1" state="visible" r:id="rId1"/>
    <sheet xmlns:r="http://schemas.openxmlformats.org/officeDocument/2006/relationships"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2">
    <font>
      <name val="Calibri"/>
      <family val="2"/>
      <color theme="1"/>
      <sz val="11"/>
      <scheme val="minor"/>
    </font>
    <font>
      <name val="Arial"/>
      <b val="1"/>
      <color rgb="000070C0"/>
      <sz val="20"/>
    </font>
    <font>
      <name val="Arial"/>
      <sz val="11"/>
    </font>
    <font>
      <name val="Arial"/>
      <color rgb="00000000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375623"/>
      <sz val="10"/>
    </font>
    <font>
      <name val="Arial"/>
      <color rgb="00C00000"/>
      <sz val="10"/>
    </font>
    <font>
      <name val="Arial"/>
      <color rgb="007030A0"/>
      <sz val="10"/>
    </font>
    <font>
      <name val="Arial"/>
      <color rgb="001F4E79"/>
      <sz val="10"/>
    </font>
    <font>
      <name val="Arial"/>
      <color rgb="00C55A11"/>
      <sz val="10"/>
    </font>
    <font>
      <name val="Arial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164" fontId="4" fillId="4" borderId="5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6" applyAlignment="1" pivotButton="0" quotePrefix="0" xfId="0">
      <alignment vertical="center" wrapText="1"/>
    </xf>
    <xf numFmtId="164" fontId="4" fillId="5" borderId="5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6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4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vertical="center"/>
    </xf>
    <xf numFmtId="0" fontId="4" fillId="4" borderId="8" applyAlignment="1" pivotButton="0" quotePrefix="0" xfId="0">
      <alignment horizontal="center" vertical="center"/>
    </xf>
    <xf numFmtId="0" fontId="11" fillId="4" borderId="8" applyAlignment="1" pivotButton="0" quotePrefix="0" xfId="0">
      <alignment horizontal="center" vertical="center"/>
    </xf>
    <xf numFmtId="0" fontId="4" fillId="4" borderId="9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</cols>
  <sheetData>
    <row r="1">
      <c r="A1" s="1" t="n">
        <v>2026</v>
      </c>
      <c r="B1" s="2" t="inlineStr">
        <is>
          <t>School Year (Fall Year — enter 4-digit start year)</t>
        </is>
      </c>
    </row>
    <row r="2">
      <c r="A2" s="3">
        <f>A1+1</f>
        <v/>
      </c>
      <c r="B2" s="2" t="inlineStr">
        <is>
          <t>Spring Year (auto-calculated)</t>
        </is>
      </c>
    </row>
    <row r="3">
      <c r="A3" s="4" t="inlineStr">
        <is>
          <t>Instructions: Change the value in A1 to the desired fall year (e.g., 2027 for the 2027-28 school year).</t>
        </is>
      </c>
    </row>
    <row r="4">
      <c r="A4" s="4" t="inlineStr">
        <is>
          <t>All holiday dates in the 'Holidays' tab will automatically recalculate based on that year.</t>
        </is>
      </c>
    </row>
    <row r="5">
      <c r="A5" s="4" t="inlineStr">
        <is>
          <t>The yellow cell (A1) is the only cell you need to edit.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8" customWidth="1" min="4" max="4"/>
    <col width="65" customWidth="1" min="5" max="5"/>
  </cols>
  <sheetData>
    <row r="1" ht="20" customHeight="1">
      <c r="A1" s="5" t="inlineStr">
        <is>
          <t>Date</t>
        </is>
      </c>
      <c r="B1" s="6" t="inlineStr">
        <is>
          <t>Event Name</t>
        </is>
      </c>
      <c r="C1" s="6" t="inlineStr">
        <is>
          <t>Grade Level / Notes</t>
        </is>
      </c>
      <c r="D1" s="6" t="inlineStr">
        <is>
          <t>Type</t>
        </is>
      </c>
      <c r="E1" s="7" t="inlineStr">
        <is>
          <t>Perpetual Calendar Formula</t>
        </is>
      </c>
    </row>
    <row r="2" ht="30" customHeight="1">
      <c r="A2" s="8">
        <f>DATE('School Year'!$A$1,9,1)+MOD(3-WEEKDAY(DATE('School Year'!$A$1,9,1)),7)</f>
        <v/>
      </c>
      <c r="B2" s="9" t="inlineStr">
        <is>
          <t>First Day of School</t>
        </is>
      </c>
      <c r="C2" s="10" t="inlineStr">
        <is>
          <t>TK–12</t>
        </is>
      </c>
      <c r="D2" s="11" t="inlineStr">
        <is>
          <t>First Day</t>
        </is>
      </c>
      <c r="E2" s="12" t="inlineStr">
        <is>
          <t>First Tuesday of September (fall year)</t>
        </is>
      </c>
    </row>
    <row r="3" ht="30" customHeight="1">
      <c r="A3" s="13">
        <f>DATE('School Year'!$A$1,9,1)+MOD(2-WEEKDAY(DATE('School Year'!$A$1,9,1)),7)</f>
        <v/>
      </c>
      <c r="B3" s="14" t="inlineStr">
        <is>
          <t>No School – Labor Day</t>
        </is>
      </c>
      <c r="C3" s="15" t="inlineStr">
        <is>
          <t>TK–12</t>
        </is>
      </c>
      <c r="D3" s="16" t="inlineStr">
        <is>
          <t>Federal Holiday</t>
        </is>
      </c>
      <c r="E3" s="17" t="inlineStr">
        <is>
          <t>1st Monday of September (fall year)</t>
        </is>
      </c>
    </row>
    <row r="4" ht="30" customHeight="1">
      <c r="A4" s="8">
        <f>IF(WEEKDAY(DATE('School Year'!$A$1,11,11))=7,DATE('School Year'!$A$1,11,10),IF(WEEKDAY(DATE('School Year'!$A$1,11,11))=1,DATE('School Year'!$A$1,11,12),DATE('School Year'!$A$1,11,11)))</f>
        <v/>
      </c>
      <c r="B4" s="9" t="inlineStr">
        <is>
          <t>No School – Veterans Day</t>
        </is>
      </c>
      <c r="C4" s="10" t="inlineStr">
        <is>
          <t>TK–12</t>
        </is>
      </c>
      <c r="D4" s="18" t="inlineStr">
        <is>
          <t>Federal Holiday</t>
        </is>
      </c>
      <c r="E4" s="12" t="inlineStr">
        <is>
          <t>November 11 (fixed); if Saturday → observed Friday Nov 10; if Sunday → observed Monday Nov 12</t>
        </is>
      </c>
    </row>
    <row r="5" ht="30" customHeight="1">
      <c r="A5" s="13">
        <f>DATE('School Year'!$A$1,11,1)+MOD(6-WEEKDAY(DATE('School Year'!$A$1,11,1)),7)+14</f>
        <v/>
      </c>
      <c r="B5" s="14" t="inlineStr">
        <is>
          <t>No School – Conferences</t>
        </is>
      </c>
      <c r="C5" s="15" t="inlineStr">
        <is>
          <t>Grades 6–8</t>
        </is>
      </c>
      <c r="D5" s="19" t="inlineStr">
        <is>
          <t>Conferences</t>
        </is>
      </c>
      <c r="E5" s="17" t="inlineStr">
        <is>
          <t>3rd Friday of November (fall year)</t>
        </is>
      </c>
    </row>
    <row r="6" ht="30" customHeight="1">
      <c r="A6" s="8">
        <f>DATE('School Year'!$A$1,11,1)+MOD(5-WEEKDAY(DATE('School Year'!$A$1,11,1)),7)+20</f>
        <v/>
      </c>
      <c r="B6" s="9" t="inlineStr">
        <is>
          <t>Early Release</t>
        </is>
      </c>
      <c r="C6" s="10" t="inlineStr">
        <is>
          <t>TK–12</t>
        </is>
      </c>
      <c r="D6" s="20" t="inlineStr">
        <is>
          <t>Early Release</t>
        </is>
      </c>
      <c r="E6" s="12" t="inlineStr">
        <is>
          <t>Wednesday before Thanksgiving: 4th Thursday of November minus 1 day</t>
        </is>
      </c>
    </row>
    <row r="7" ht="30" customHeight="1">
      <c r="A7" s="13">
        <f>DATE('School Year'!$A$1,11,1)+MOD(5-WEEKDAY(DATE('School Year'!$A$1,11,1)),7)+21</f>
        <v/>
      </c>
      <c r="B7" s="14" t="inlineStr">
        <is>
          <t>No School – Thanksgiving</t>
        </is>
      </c>
      <c r="C7" s="15" t="inlineStr">
        <is>
          <t>TK–12</t>
        </is>
      </c>
      <c r="D7" s="16" t="inlineStr">
        <is>
          <t>Federal Holiday</t>
        </is>
      </c>
      <c r="E7" s="17" t="inlineStr">
        <is>
          <t>4th Thursday of November (Thanksgiving Day, fall year)</t>
        </is>
      </c>
    </row>
    <row r="8" ht="30" customHeight="1">
      <c r="A8" s="8">
        <f>DATE('School Year'!$A$1,11,1)+MOD(5-WEEKDAY(DATE('School Year'!$A$1,11,1)),7)+22</f>
        <v/>
      </c>
      <c r="B8" s="9" t="inlineStr">
        <is>
          <t>No School – Thanksgiving Break</t>
        </is>
      </c>
      <c r="C8" s="10" t="inlineStr">
        <is>
          <t>TK–12</t>
        </is>
      </c>
      <c r="D8" s="21" t="inlineStr">
        <is>
          <t>Break</t>
        </is>
      </c>
      <c r="E8" s="12" t="inlineStr">
        <is>
          <t>Day after Thanksgiving (4th Thursday of November plus 1 day)</t>
        </is>
      </c>
    </row>
    <row r="9" ht="30" customHeight="1">
      <c r="A9" s="13">
        <f>DATE('School Year'!$A$1,11,1)+MOD(5-WEEKDAY(DATE('School Year'!$A$1,11,1)),7)+25</f>
        <v/>
      </c>
      <c r="B9" s="14" t="inlineStr">
        <is>
          <t>No School – Trimester Break</t>
        </is>
      </c>
      <c r="C9" s="15" t="inlineStr">
        <is>
          <t>TK–12</t>
        </is>
      </c>
      <c r="D9" s="22" t="inlineStr">
        <is>
          <t>Break</t>
        </is>
      </c>
      <c r="E9" s="17" t="inlineStr">
        <is>
          <t>Monday after Thanksgiving: 4th Thursday of November plus 4 days</t>
        </is>
      </c>
    </row>
    <row r="10" ht="30" customHeight="1">
      <c r="A10" s="8">
        <f>DATE('School Year'!$A$1,12,1)+MOD(6-WEEKDAY(DATE('School Year'!$A$1,12,1)),7)+7</f>
        <v/>
      </c>
      <c r="B10" s="9" t="inlineStr">
        <is>
          <t>No School – Conferences</t>
        </is>
      </c>
      <c r="C10" s="10" t="inlineStr">
        <is>
          <t>TK–5</t>
        </is>
      </c>
      <c r="D10" s="23" t="inlineStr">
        <is>
          <t>Conferences</t>
        </is>
      </c>
      <c r="E10" s="12" t="inlineStr">
        <is>
          <t>2nd Friday of December (fall year)</t>
        </is>
      </c>
    </row>
    <row r="11" ht="30" customHeight="1">
      <c r="A11" s="13">
        <f>DATE('School Year'!$A$1,12,1)+MOD(5-WEEKDAY(DATE('School Year'!$A$1,12,1)),7)+13</f>
        <v/>
      </c>
      <c r="B11" s="14" t="inlineStr">
        <is>
          <t>Early Release</t>
        </is>
      </c>
      <c r="C11" s="15" t="inlineStr">
        <is>
          <t>TK–12</t>
        </is>
      </c>
      <c r="D11" s="24" t="inlineStr">
        <is>
          <t>Early Release</t>
        </is>
      </c>
      <c r="E11" s="17" t="inlineStr">
        <is>
          <t>Day before Winter Break: 3rd Thursday of December minus 1 day (Wednesday)</t>
        </is>
      </c>
    </row>
    <row r="12" ht="30" customHeight="1">
      <c r="A12" s="8">
        <f>DATE('School Year'!$A$1,12,1)+MOD(5-WEEKDAY(DATE('School Year'!$A$1,12,1)),7)+14</f>
        <v/>
      </c>
      <c r="B12" s="9" t="inlineStr">
        <is>
          <t>No School – Winter Break Begins</t>
        </is>
      </c>
      <c r="C12" s="10" t="inlineStr">
        <is>
          <t>TK–12</t>
        </is>
      </c>
      <c r="D12" s="21" t="inlineStr">
        <is>
          <t>Break</t>
        </is>
      </c>
      <c r="E12" s="12" t="inlineStr">
        <is>
          <t>3rd Thursday of December (fall year); first day of Winter Break</t>
        </is>
      </c>
    </row>
    <row r="13" ht="30" customHeight="1">
      <c r="A13" s="13">
        <f>DATE('School Year'!$A$1,12,31)</f>
        <v/>
      </c>
      <c r="B13" s="14" t="inlineStr">
        <is>
          <t>No School – Winter Break Ends</t>
        </is>
      </c>
      <c r="C13" s="15" t="inlineStr">
        <is>
          <t>TK–12</t>
        </is>
      </c>
      <c r="D13" s="22" t="inlineStr">
        <is>
          <t>Break</t>
        </is>
      </c>
      <c r="E13" s="17" t="inlineStr">
        <is>
          <t>December 31 (fixed); last day of calendar year / Winter Break</t>
        </is>
      </c>
    </row>
    <row r="14" ht="30" customHeight="1">
      <c r="A14" s="8">
        <f>DATE('School Year'!$A$1+1,1,1)</f>
        <v/>
      </c>
      <c r="B14" s="9" t="inlineStr">
        <is>
          <t>No School – New Year's Day</t>
        </is>
      </c>
      <c r="C14" s="10" t="inlineStr">
        <is>
          <t>TK–12</t>
        </is>
      </c>
      <c r="D14" s="18" t="inlineStr">
        <is>
          <t>Federal Holiday</t>
        </is>
      </c>
      <c r="E14" s="12" t="inlineStr">
        <is>
          <t>January 1 (fixed, spring year)</t>
        </is>
      </c>
    </row>
    <row r="15" ht="30" customHeight="1">
      <c r="A15" s="13">
        <f>DATE('School Year'!$A$1+1,1,1)+MOD(2-WEEKDAY(DATE('School Year'!$A$1+1,1,1)),7)+14</f>
        <v/>
      </c>
      <c r="B15" s="14" t="inlineStr">
        <is>
          <t>No School – Martin Luther King Jr. Day</t>
        </is>
      </c>
      <c r="C15" s="15" t="inlineStr">
        <is>
          <t>TK–12</t>
        </is>
      </c>
      <c r="D15" s="16" t="inlineStr">
        <is>
          <t>Federal Holiday</t>
        </is>
      </c>
      <c r="E15" s="17" t="inlineStr">
        <is>
          <t>3rd Monday of January (spring year)</t>
        </is>
      </c>
    </row>
    <row r="16" ht="30" customHeight="1">
      <c r="A16" s="8">
        <f>DATE('School Year'!$A$1+1,2,0)-MOD(WEEKDAY(DATE('School Year'!$A$1+1,2,0))-6+7,7)</f>
        <v/>
      </c>
      <c r="B16" s="9" t="inlineStr">
        <is>
          <t>No School – Semester Break</t>
        </is>
      </c>
      <c r="C16" s="10" t="inlineStr">
        <is>
          <t>TK–12</t>
        </is>
      </c>
      <c r="D16" s="21" t="inlineStr">
        <is>
          <t>Break</t>
        </is>
      </c>
      <c r="E16" s="12" t="inlineStr">
        <is>
          <t>Last Friday of January (spring year): last day of January minus days-since-Friday</t>
        </is>
      </c>
    </row>
    <row r="17" ht="30" customHeight="1">
      <c r="A17" s="13">
        <f>DATE('School Year'!$A$1+1,2,1)+MOD(2-WEEKDAY(DATE('School Year'!$A$1+1,2,1)),7)+14</f>
        <v/>
      </c>
      <c r="B17" s="14" t="inlineStr">
        <is>
          <t>No School – Presidents' Day</t>
        </is>
      </c>
      <c r="C17" s="15" t="inlineStr">
        <is>
          <t>TK–12</t>
        </is>
      </c>
      <c r="D17" s="16" t="inlineStr">
        <is>
          <t>Federal Holiday</t>
        </is>
      </c>
      <c r="E17" s="17" t="inlineStr">
        <is>
          <t>3rd Monday of February (spring year)</t>
        </is>
      </c>
    </row>
    <row r="18" ht="30" customHeight="1">
      <c r="A18" s="8">
        <f>DATE('School Year'!$A$1+1,2,1)+MOD(2-WEEKDAY(DATE('School Year'!$A$1+1,2,1)),7)+21</f>
        <v/>
      </c>
      <c r="B18" s="9" t="inlineStr">
        <is>
          <t>Snow Make-Up Day (if needed)</t>
        </is>
      </c>
      <c r="C18" s="10" t="inlineStr">
        <is>
          <t>TK–12</t>
        </is>
      </c>
      <c r="D18" s="25" t="inlineStr">
        <is>
          <t>Make-Up Day</t>
        </is>
      </c>
      <c r="E18" s="12" t="inlineStr">
        <is>
          <t>Monday after Presidents' Day: Presidents' Day (3rd Monday of Feb) plus 7 days</t>
        </is>
      </c>
    </row>
    <row r="19" ht="30" customHeight="1">
      <c r="A19" s="13">
        <f>DATE('School Year'!$A$1+1,3,1)+MOD(4-WEEKDAY(DATE('School Year'!$A$1+1,3,1)),7)+14</f>
        <v/>
      </c>
      <c r="B19" s="14" t="inlineStr">
        <is>
          <t>No School – Trimester Break</t>
        </is>
      </c>
      <c r="C19" s="15" t="inlineStr">
        <is>
          <t>TK–12</t>
        </is>
      </c>
      <c r="D19" s="22" t="inlineStr">
        <is>
          <t>Break</t>
        </is>
      </c>
      <c r="E19" s="17" t="inlineStr">
        <is>
          <t>3rd Wednesday of March (spring year)</t>
        </is>
      </c>
    </row>
    <row r="20" ht="30" customHeight="1">
      <c r="A20" s="8">
        <f>DATE('School Year'!$A$1+1,3,1)+MOD(6-WEEKDAY(DATE('School Year'!$A$1+1,3,1)),7)+21</f>
        <v/>
      </c>
      <c r="B20" s="9" t="inlineStr">
        <is>
          <t>No School – Conferences</t>
        </is>
      </c>
      <c r="C20" s="10" t="inlineStr">
        <is>
          <t>TK–5</t>
        </is>
      </c>
      <c r="D20" s="23" t="inlineStr">
        <is>
          <t>Conferences</t>
        </is>
      </c>
      <c r="E20" s="12" t="inlineStr">
        <is>
          <t>4th Friday of March (spring year)</t>
        </is>
      </c>
    </row>
    <row r="21" ht="30" customHeight="1">
      <c r="A21" s="13">
        <f>DATE('School Year'!$A$1+1,4,1)+MOD(2-WEEKDAY(DATE('School Year'!$A$1+1,4,1)),7)-3</f>
        <v/>
      </c>
      <c r="B21" s="14" t="inlineStr">
        <is>
          <t>Early Release</t>
        </is>
      </c>
      <c r="C21" s="15" t="inlineStr">
        <is>
          <t>TK–12</t>
        </is>
      </c>
      <c r="D21" s="24" t="inlineStr">
        <is>
          <t>Early Release</t>
        </is>
      </c>
      <c r="E21" s="17" t="inlineStr">
        <is>
          <t>Friday before Spring Break: First Monday of April minus 3 days</t>
        </is>
      </c>
    </row>
    <row r="22" ht="30" customHeight="1">
      <c r="A22" s="8">
        <f>DATE('School Year'!$A$1+1,4,1)+MOD(2-WEEKDAY(DATE('School Year'!$A$1+1,4,1)),7)</f>
        <v/>
      </c>
      <c r="B22" s="9" t="inlineStr">
        <is>
          <t>No School – Spring Break Begins</t>
        </is>
      </c>
      <c r="C22" s="10" t="inlineStr">
        <is>
          <t>TK–12</t>
        </is>
      </c>
      <c r="D22" s="21" t="inlineStr">
        <is>
          <t>Break</t>
        </is>
      </c>
      <c r="E22" s="12" t="inlineStr">
        <is>
          <t>First Monday of April (spring year); first day of Spring Break</t>
        </is>
      </c>
    </row>
    <row r="23" ht="30" customHeight="1">
      <c r="A23" s="13">
        <f>DATE('School Year'!$A$1+1,4,1)+MOD(2-WEEKDAY(DATE('School Year'!$A$1+1,4,1)),7)+4</f>
        <v/>
      </c>
      <c r="B23" s="14" t="inlineStr">
        <is>
          <t>No School – Spring Break Ends</t>
        </is>
      </c>
      <c r="C23" s="15" t="inlineStr">
        <is>
          <t>TK–12</t>
        </is>
      </c>
      <c r="D23" s="22" t="inlineStr">
        <is>
          <t>Break</t>
        </is>
      </c>
      <c r="E23" s="17" t="inlineStr">
        <is>
          <t>First Friday of April: Spring Break start (First Monday of April) plus 4 days</t>
        </is>
      </c>
    </row>
    <row r="24" ht="30" customHeight="1">
      <c r="A24" s="8">
        <f>DATE('School Year'!$A$1+1,5,0)-MOD(WEEKDAY(DATE('School Year'!$A$1+1,5,0))-6+7,7)</f>
        <v/>
      </c>
      <c r="B24" s="9" t="inlineStr">
        <is>
          <t>No School – Conferences</t>
        </is>
      </c>
      <c r="C24" s="10" t="inlineStr">
        <is>
          <t>Grades 6–8</t>
        </is>
      </c>
      <c r="D24" s="23" t="inlineStr">
        <is>
          <t>Conferences</t>
        </is>
      </c>
      <c r="E24" s="12" t="inlineStr">
        <is>
          <t>Last Friday of April (spring year)</t>
        </is>
      </c>
    </row>
    <row r="25" ht="30" customHeight="1">
      <c r="A25" s="13">
        <f>DATE('School Year'!$A$1+1,6,0)-MOD(WEEKDAY(DATE('School Year'!$A$1+1,6,0))-2+7,7)</f>
        <v/>
      </c>
      <c r="B25" s="14" t="inlineStr">
        <is>
          <t>No School – Memorial Day</t>
        </is>
      </c>
      <c r="C25" s="15" t="inlineStr">
        <is>
          <t>TK–12</t>
        </is>
      </c>
      <c r="D25" s="16" t="inlineStr">
        <is>
          <t>Federal Holiday</t>
        </is>
      </c>
      <c r="E25" s="17" t="inlineStr">
        <is>
          <t>Last Monday of May (spring year): last day of May minus days-since-Monday</t>
        </is>
      </c>
    </row>
    <row r="26" ht="30" customHeight="1">
      <c r="A26" s="8">
        <f>DATE('School Year'!$A$1+1,6,1)+MOD(5-WEEKDAY(DATE('School Year'!$A$1+1,6,1)),7)+14</f>
        <v/>
      </c>
      <c r="B26" s="9" t="inlineStr">
        <is>
          <t>Last Day of School (Early Release)</t>
        </is>
      </c>
      <c r="C26" s="10" t="inlineStr">
        <is>
          <t>TK–12</t>
        </is>
      </c>
      <c r="D26" s="11" t="inlineStr">
        <is>
          <t>Last Day</t>
        </is>
      </c>
      <c r="E26" s="12" t="inlineStr">
        <is>
          <t>3rd Thursday of June (spring year)</t>
        </is>
      </c>
    </row>
    <row r="27" ht="30" customHeight="1">
      <c r="A27" s="13">
        <f>IF(WEEKDAY(DATE('School Year'!$A$1+1,6,19))=7,DATE('School Year'!$A$1+1,6,18),IF(WEEKDAY(DATE('School Year'!$A$1+1,6,19))=1,DATE('School Year'!$A$1+1,6,20),DATE('School Year'!$A$1+1,6,19)))</f>
        <v/>
      </c>
      <c r="B27" s="14" t="inlineStr">
        <is>
          <t>No School – Juneteenth Observance</t>
        </is>
      </c>
      <c r="C27" s="15" t="inlineStr">
        <is>
          <t>TK–12</t>
        </is>
      </c>
      <c r="D27" s="16" t="inlineStr">
        <is>
          <t>Federal Holiday</t>
        </is>
      </c>
      <c r="E27" s="17" t="inlineStr">
        <is>
          <t>June 19 (Juneteenth, fixed); if Saturday → observed Friday June 18; if Sunday → observed Monday June 20</t>
        </is>
      </c>
    </row>
    <row r="28" ht="30" customHeight="1">
      <c r="A28" s="26">
        <f>A26-WEEKDAY(A26)+9</f>
        <v/>
      </c>
      <c r="B28" s="27" t="inlineStr">
        <is>
          <t>Snow Make-Up Day (if needed)</t>
        </is>
      </c>
      <c r="C28" s="28" t="inlineStr">
        <is>
          <t>TK–12</t>
        </is>
      </c>
      <c r="D28" s="29" t="inlineStr">
        <is>
          <t>Make-Up Day</t>
        </is>
      </c>
      <c r="E28" s="30" t="inlineStr">
        <is>
          <t>First Monday after Last Day of School: Last Day minus WEEKDAY(Last Day) plus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2026-03-28T05:13:25Z</dcterms:created>
  <dcterms:modified xmlns:dcterms="http://purl.org/dc/terms/" xmlns:xsi="http://www.w3.org/2001/XMLSchema-instance" xsi:type="dcterms:W3CDTF">2026-03-28T05:13:25Z</dcterms:modified>
</cp:coreProperties>
</file>